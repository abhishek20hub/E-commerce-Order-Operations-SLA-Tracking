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0d9dbb1720b20a/Documents/"/>
    </mc:Choice>
  </mc:AlternateContent>
  <xr:revisionPtr revIDLastSave="42" documentId="8_{D4FAF4CC-63DC-467D-BE5F-7AD87FABCA99}" xr6:coauthVersionLast="47" xr6:coauthVersionMax="47" xr10:uidLastSave="{6742333F-E6E7-4E15-80F6-F919855C2908}"/>
  <bookViews>
    <workbookView xWindow="-108" yWindow="-108" windowWidth="23256" windowHeight="12456" firstSheet="1" activeTab="1" xr2:uid="{D611F1D0-EBBC-4041-9268-151942B07457}"/>
  </bookViews>
  <sheets>
    <sheet name="Raw Data" sheetId="1" r:id="rId1"/>
    <sheet name="pivot tables" sheetId="8" r:id="rId2"/>
    <sheet name="Operations Tracker" sheetId="2" r:id="rId3"/>
    <sheet name="Productivity Report" sheetId="3" r:id="rId4"/>
    <sheet name="SLA TAT Report" sheetId="4" r:id="rId5"/>
    <sheet name="MIS Report" sheetId="5" r:id="rId6"/>
    <sheet name="RCA &amp; Improvement" sheetId="6" r:id="rId7"/>
    <sheet name="quality check" sheetId="7" r:id="rId8"/>
  </sheets>
  <calcPr calcId="191029"/>
  <pivotCaches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D2" i="3"/>
  <c r="K4" i="2"/>
  <c r="M3" i="2"/>
  <c r="M5" i="2"/>
  <c r="M6" i="2"/>
  <c r="M2" i="2"/>
  <c r="K3" i="2"/>
  <c r="K5" i="2"/>
  <c r="K6" i="2"/>
  <c r="K2" i="2"/>
</calcChain>
</file>

<file path=xl/sharedStrings.xml><?xml version="1.0" encoding="utf-8"?>
<sst xmlns="http://schemas.openxmlformats.org/spreadsheetml/2006/main" count="155" uniqueCount="76">
  <si>
    <t>Order ID</t>
  </si>
  <si>
    <t>Customer</t>
  </si>
  <si>
    <t>Amount</t>
  </si>
  <si>
    <t>Payment</t>
  </si>
  <si>
    <t>Issue</t>
  </si>
  <si>
    <t>ORD001</t>
  </si>
  <si>
    <t>Rahul</t>
  </si>
  <si>
    <t>Paid</t>
  </si>
  <si>
    <t>No Issue</t>
  </si>
  <si>
    <t>ORD002</t>
  </si>
  <si>
    <t>Priya</t>
  </si>
  <si>
    <t>ORD003</t>
  </si>
  <si>
    <t>Amit</t>
  </si>
  <si>
    <t>Failed</t>
  </si>
  <si>
    <t>Payment Failure</t>
  </si>
  <si>
    <t>ORD004</t>
  </si>
  <si>
    <t>Neha</t>
  </si>
  <si>
    <t>ORD005</t>
  </si>
  <si>
    <t>Ravi</t>
  </si>
  <si>
    <t>Status</t>
  </si>
  <si>
    <t>Action Taken</t>
  </si>
  <si>
    <t>Priority</t>
  </si>
  <si>
    <t>Completed</t>
  </si>
  <si>
    <t>Medium</t>
  </si>
  <si>
    <t>On Hold</t>
  </si>
  <si>
    <t>Escalated to Payment Team</t>
  </si>
  <si>
    <t>High</t>
  </si>
  <si>
    <t>Start Time</t>
  </si>
  <si>
    <t>Completion Time</t>
  </si>
  <si>
    <t>TAT</t>
  </si>
  <si>
    <t>SLA</t>
  </si>
  <si>
    <t>SLA Status</t>
  </si>
  <si>
    <t>Pending Reason</t>
  </si>
  <si>
    <t>Next Action</t>
  </si>
  <si>
    <t>Owner/Team</t>
  </si>
  <si>
    <t>Pending Since</t>
  </si>
  <si>
    <t>Remarks</t>
  </si>
  <si>
    <t>Follow up on payment resolution</t>
  </si>
  <si>
    <t>Payment Team</t>
  </si>
  <si>
    <t>Payment issue under review</t>
  </si>
  <si>
    <t>Employee</t>
  </si>
  <si>
    <t>Assigned</t>
  </si>
  <si>
    <t>Pending</t>
  </si>
  <si>
    <t>Productivity %</t>
  </si>
  <si>
    <t>Abhishek</t>
  </si>
  <si>
    <t>SLA Met</t>
  </si>
  <si>
    <t>—</t>
  </si>
  <si>
    <t>SLA Breached</t>
  </si>
  <si>
    <t>KPI</t>
  </si>
  <si>
    <t>Value</t>
  </si>
  <si>
    <t>Total Orders</t>
  </si>
  <si>
    <t>Escalated</t>
  </si>
  <si>
    <t>Productivity</t>
  </si>
  <si>
    <t>Problem</t>
  </si>
  <si>
    <t>Root Cause</t>
  </si>
  <si>
    <t>Corrective Action</t>
  </si>
  <si>
    <t>ORD005 breached SLA</t>
  </si>
  <si>
    <t>Case processing was delayed because priority was not followed</t>
  </si>
  <si>
    <t>Monitor pending cases and prioritize cases approaching SLA deadline</t>
  </si>
  <si>
    <t>Check</t>
  </si>
  <si>
    <t>Result</t>
  </si>
  <si>
    <t>All 5 Order IDs present</t>
  </si>
  <si>
    <t>Pass</t>
  </si>
  <si>
    <t>All payment statuses checked</t>
  </si>
  <si>
    <t>All cases have a final status</t>
  </si>
  <si>
    <t>ORD003 payment issue handled correctly</t>
  </si>
  <si>
    <t>ORD005 SLA breach identified</t>
  </si>
  <si>
    <t>Pending/escalated cases documented</t>
  </si>
  <si>
    <t>MIS report completed</t>
  </si>
  <si>
    <t>RCA documented for SLA breach</t>
  </si>
  <si>
    <t>Row Labels</t>
  </si>
  <si>
    <t>Grand Total</t>
  </si>
  <si>
    <t>Count of Order ID</t>
  </si>
  <si>
    <t>SLA breached</t>
  </si>
  <si>
    <t>SLA met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</si>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</sst>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8" fontId="0" fillId="0" borderId="0" xfId="0" applyNumberFormat="1"/>
    <xf numFmtId="18" fontId="3" fillId="0" borderId="0" xfId="0" applyNumberFormat="1" applyFont="1"/>
    <xf numFmtId="164" fontId="0" fillId="0" borderId="0" xfId="0" applyNumberFormat="1"/>
    <xf numFmtId="18" fontId="0" fillId="0" borderId="0" xfId="0" applyNumberForma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[h]:mm"/>
    </dxf>
    <dxf>
      <numFmt numFmtId="23" formatCode="hh:mm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23" formatCode="hh:mm\ AM/PM"/>
    </dxf>
    <dxf>
      <numFmt numFmtId="23" formatCode="hh:mm\ AM/PM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2.406801620367" createdVersion="8" refreshedVersion="8" minRefreshableVersion="3" recordCount="5" xr:uid="{40DBB9CE-F822-4C80-ACC0-745F08CD0826}">
  <cacheSource type="worksheet">
    <worksheetSource name="Table1"/>
  </cacheSource>
  <cacheFields count="18">
    <cacheField name="Order ID" numFmtId="0">
      <sharedItems/>
    </cacheField>
    <cacheField name="Customer" numFmtId="0">
      <sharedItems/>
    </cacheField>
    <cacheField name="Amount" numFmtId="0">
      <sharedItems containsSemiMixedTypes="0" containsString="0" containsNumber="1" containsInteger="1" minValue="1200" maxValue="4000"/>
    </cacheField>
    <cacheField name="Payment" numFmtId="0">
      <sharedItems/>
    </cacheField>
    <cacheField name="Status" numFmtId="0">
      <sharedItems count="2">
        <s v="Completed"/>
        <s v="On Hold"/>
      </sharedItems>
    </cacheField>
    <cacheField name="Issue" numFmtId="0">
      <sharedItems/>
    </cacheField>
    <cacheField name="Action Taken" numFmtId="0">
      <sharedItems/>
    </cacheField>
    <cacheField name="Priority" numFmtId="0">
      <sharedItems count="2">
        <s v="Medium"/>
        <s v="High"/>
      </sharedItems>
    </cacheField>
    <cacheField name="Start Time" numFmtId="18">
      <sharedItems containsSemiMixedTypes="0" containsNonDate="0" containsDate="1" containsString="0" minDate="1899-12-30T09:00:00" maxDate="1899-12-30T09:00:00"/>
    </cacheField>
    <cacheField name="Completion Time" numFmtId="18">
      <sharedItems containsNonDate="0" containsDate="1" containsString="0" containsBlank="1" minDate="1899-12-30T10:00:00" maxDate="1899-12-30T14:00:00"/>
    </cacheField>
    <cacheField name="TAT" numFmtId="18">
      <sharedItems containsDate="1" containsMixedTypes="1" minDate="1899-12-30T01:00:00" maxDate="1899-12-30T05:00:00"/>
    </cacheField>
    <cacheField name="SLA" numFmtId="164">
      <sharedItems containsSemiMixedTypes="0" containsNonDate="0" containsDate="1" containsString="0" minDate="1899-12-30T04:00:00" maxDate="1899-12-30T04:00:00"/>
    </cacheField>
    <cacheField name="SLA Status" numFmtId="0">
      <sharedItems containsBlank="1" count="3">
        <s v="SLA met"/>
        <m/>
        <s v="SLA breached"/>
      </sharedItems>
    </cacheField>
    <cacheField name="Pending Reason" numFmtId="0">
      <sharedItems containsBlank="1"/>
    </cacheField>
    <cacheField name="Next Action" numFmtId="0">
      <sharedItems containsBlank="1"/>
    </cacheField>
    <cacheField name="Owner/Team" numFmtId="0">
      <sharedItems containsBlank="1"/>
    </cacheField>
    <cacheField name="Pending Since" numFmtId="0">
      <sharedItems containsNonDate="0" containsDate="1" containsString="0" containsBlank="1" minDate="1899-12-30T09:00:00" maxDate="1899-12-30T09:00: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ORD001"/>
    <s v="Rahul"/>
    <n v="2500"/>
    <s v="Paid"/>
    <x v="0"/>
    <s v="No Issue"/>
    <s v="Completed"/>
    <x v="0"/>
    <d v="1899-12-30T09:00:00"/>
    <d v="1899-12-30T10:00:00"/>
    <d v="1899-12-30T01:00:00"/>
    <d v="1899-12-30T04:00:00"/>
    <x v="0"/>
    <m/>
    <m/>
    <m/>
    <m/>
    <m/>
  </r>
  <r>
    <s v="ORD002"/>
    <s v="Priya"/>
    <n v="1800"/>
    <s v="Paid"/>
    <x v="0"/>
    <s v="No Issue"/>
    <s v="Completed"/>
    <x v="0"/>
    <d v="1899-12-30T09:00:00"/>
    <d v="1899-12-30T11:00:00"/>
    <d v="1899-12-30T02:00:00"/>
    <d v="1899-12-30T04:00:00"/>
    <x v="0"/>
    <m/>
    <m/>
    <m/>
    <m/>
    <m/>
  </r>
  <r>
    <s v="ORD003"/>
    <s v="Amit"/>
    <n v="3200"/>
    <s v="Failed"/>
    <x v="1"/>
    <s v="Payment Failure"/>
    <s v="Escalated to Payment Team"/>
    <x v="1"/>
    <d v="1899-12-30T09:00:00"/>
    <m/>
    <s v=""/>
    <d v="1899-12-30T04:00:00"/>
    <x v="1"/>
    <s v="Payment Failure"/>
    <s v="Follow up on payment resolution"/>
    <s v="Payment Team"/>
    <d v="1899-12-30T09:00:00"/>
    <s v="Payment issue under review"/>
  </r>
  <r>
    <s v="ORD004"/>
    <s v="Neha"/>
    <n v="1200"/>
    <s v="Paid"/>
    <x v="0"/>
    <s v="No Issue"/>
    <s v="Completed"/>
    <x v="0"/>
    <d v="1899-12-30T09:00:00"/>
    <d v="1899-12-30T12:00:00"/>
    <d v="1899-12-30T03:00:00"/>
    <d v="1899-12-30T04:00:00"/>
    <x v="0"/>
    <m/>
    <m/>
    <m/>
    <m/>
    <m/>
  </r>
  <r>
    <s v="ORD005"/>
    <s v="Ravi"/>
    <n v="4000"/>
    <s v="Paid"/>
    <x v="0"/>
    <s v="No Issue"/>
    <s v="Completed"/>
    <x v="0"/>
    <d v="1899-12-30T09:00:00"/>
    <d v="1899-12-30T14:00:00"/>
    <d v="1899-12-30T05:00:00"/>
    <d v="1899-12-30T04:00:00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A014E-E261-4251-9D6F-01839910F2A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9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8" showAll="0"/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B203E-7EC9-45AB-B2A2-6A23F228A56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2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8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9B799-E017-45A6-8A8D-B35A1E2C39D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8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8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EE92A-F645-4DA6-9302-F110430746ED}" name="Table1" displayName="Table1" ref="A1:R6" totalsRowShown="0" headerRowDxfId="0">
  <autoFilter ref="A1:R6" xr:uid="{A72EE92A-F645-4DA6-9302-F110430746ED}"/>
  <tableColumns count="18">
    <tableColumn id="1" xr3:uid="{E24C043A-E75B-4623-811C-D5569335D7C4}" name="Order ID" dataDxfId="12"/>
    <tableColumn id="2" xr3:uid="{92EFB2B1-133E-47CA-886F-A38BD179843E}" name="Customer" dataDxfId="11"/>
    <tableColumn id="3" xr3:uid="{75022BEB-ACDD-4187-98A9-50C972E9593B}" name="Amount" dataDxfId="10"/>
    <tableColumn id="4" xr3:uid="{23964A7B-EB31-4A41-A61B-CF659D45CBEF}" name="Payment" dataDxfId="9"/>
    <tableColumn id="5" xr3:uid="{BF232236-92F8-4D31-8875-7295E44E4F8E}" name="Status" dataDxfId="8"/>
    <tableColumn id="6" xr3:uid="{5098B046-33D4-4705-A08D-30AA82D4F0E0}" name="Issue" dataDxfId="7"/>
    <tableColumn id="7" xr3:uid="{A29E9AB5-6CF0-4652-B2AA-E8A152BFB026}" name="Action Taken" dataDxfId="6"/>
    <tableColumn id="8" xr3:uid="{A5E5214A-78CF-4518-A142-767443D0B3C9}" name="Priority" dataDxfId="5"/>
    <tableColumn id="9" xr3:uid="{B5B74696-C285-4B83-AEE2-E9AF7410FB99}" name="Start Time" dataDxfId="4"/>
    <tableColumn id="10" xr3:uid="{1D1A7085-55A8-43E2-9608-63BDA197915A}" name="Completion Time" dataDxfId="3"/>
    <tableColumn id="11" xr3:uid="{A5A6899B-B94A-4D08-BF6F-72EE167F2B4F}" name="TAT" dataDxfId="2">
      <calculatedColumnFormula>J2-I2</calculatedColumnFormula>
    </tableColumn>
    <tableColumn id="12" xr3:uid="{7E0B16E4-43FF-4221-BFD9-6001DAC3E271}" name="SLA" dataDxfId="1"/>
    <tableColumn id="13" xr3:uid="{8E28111E-F9C8-4AF9-931C-838513EC269D}" name="SLA Status">
      <calculatedColumnFormula>IF(K2&lt;=L2,"SLA met","SLA breached")</calculatedColumnFormula>
    </tableColumn>
    <tableColumn id="14" xr3:uid="{5284C7A5-A54B-492D-A861-529E0283D19C}" name="Pending Reason"/>
    <tableColumn id="15" xr3:uid="{C7C4124F-B4C4-4FFD-8CD4-EC5B7BDC43D1}" name="Next Action"/>
    <tableColumn id="16" xr3:uid="{1B86A366-B3B8-463D-A662-63DD9F514A66}" name="Owner/Team"/>
    <tableColumn id="17" xr3:uid="{623FC9FF-6EE2-4FA7-908B-2BCDB73CFCB9}" name="Pending Since"/>
    <tableColumn id="18" xr3:uid="{D0D0AFDD-EA23-4C78-AD90-C9682B3CB939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C48D-FE2A-4718-8E29-73003A0D2E0E}">
  <dimension ref="A1:E6"/>
  <sheetViews>
    <sheetView workbookViewId="0">
      <selection activeCell="C13" sqref="C13"/>
    </sheetView>
  </sheetViews>
  <sheetFormatPr defaultRowHeight="14.4"/>
  <sheetData>
    <row r="1" spans="1:5" ht="28.8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2">
        <v>2500</v>
      </c>
      <c r="D2" s="4" t="s">
        <v>7</v>
      </c>
      <c r="E2" s="4" t="s">
        <v>8</v>
      </c>
    </row>
    <row r="3" spans="1:5">
      <c r="A3" s="4" t="s">
        <v>9</v>
      </c>
      <c r="B3" s="4" t="s">
        <v>10</v>
      </c>
      <c r="C3" s="2">
        <v>1800</v>
      </c>
      <c r="D3" s="4" t="s">
        <v>7</v>
      </c>
      <c r="E3" s="4" t="s">
        <v>8</v>
      </c>
    </row>
    <row r="4" spans="1:5" ht="28.8">
      <c r="A4" s="4" t="s">
        <v>11</v>
      </c>
      <c r="B4" s="4" t="s">
        <v>12</v>
      </c>
      <c r="C4" s="2">
        <v>3200</v>
      </c>
      <c r="D4" s="4" t="s">
        <v>13</v>
      </c>
      <c r="E4" s="4" t="s">
        <v>14</v>
      </c>
    </row>
    <row r="5" spans="1:5">
      <c r="A5" s="4" t="s">
        <v>15</v>
      </c>
      <c r="B5" s="4" t="s">
        <v>16</v>
      </c>
      <c r="C5" s="2">
        <v>1200</v>
      </c>
      <c r="D5" s="4" t="s">
        <v>7</v>
      </c>
      <c r="E5" s="4" t="s">
        <v>8</v>
      </c>
    </row>
    <row r="6" spans="1:5">
      <c r="A6" s="4" t="s">
        <v>17</v>
      </c>
      <c r="B6" s="4" t="s">
        <v>18</v>
      </c>
      <c r="C6" s="2">
        <v>4000</v>
      </c>
      <c r="D6" s="4" t="s">
        <v>7</v>
      </c>
      <c r="E6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EEF2-4C7A-46AD-8841-A72385DF4DE4}">
  <dimension ref="A3:B19"/>
  <sheetViews>
    <sheetView tabSelected="1" workbookViewId="0">
      <selection activeCell="A15" sqref="A15"/>
    </sheetView>
  </sheetViews>
  <sheetFormatPr defaultRowHeight="14.4"/>
  <cols>
    <col min="1" max="1" width="12.44140625" bestFit="1" customWidth="1"/>
    <col min="2" max="2" width="15.109375" bestFit="1" customWidth="1"/>
  </cols>
  <sheetData>
    <row r="3" spans="1:2">
      <c r="A3" s="13" t="s">
        <v>70</v>
      </c>
      <c r="B3" t="s">
        <v>72</v>
      </c>
    </row>
    <row r="4" spans="1:2">
      <c r="A4" s="14" t="s">
        <v>22</v>
      </c>
      <c r="B4" s="15">
        <v>4</v>
      </c>
    </row>
    <row r="5" spans="1:2">
      <c r="A5" s="14" t="s">
        <v>24</v>
      </c>
      <c r="B5" s="15">
        <v>1</v>
      </c>
    </row>
    <row r="6" spans="1:2">
      <c r="A6" s="14" t="s">
        <v>71</v>
      </c>
      <c r="B6" s="15">
        <v>5</v>
      </c>
    </row>
    <row r="9" spans="1:2">
      <c r="A9" s="13" t="s">
        <v>70</v>
      </c>
      <c r="B9" t="s">
        <v>72</v>
      </c>
    </row>
    <row r="10" spans="1:2">
      <c r="A10" s="14" t="s">
        <v>26</v>
      </c>
      <c r="B10" s="15">
        <v>1</v>
      </c>
    </row>
    <row r="11" spans="1:2">
      <c r="A11" s="14" t="s">
        <v>23</v>
      </c>
      <c r="B11" s="15">
        <v>4</v>
      </c>
    </row>
    <row r="12" spans="1:2">
      <c r="A12" s="14" t="s">
        <v>71</v>
      </c>
      <c r="B12" s="15">
        <v>5</v>
      </c>
    </row>
    <row r="15" spans="1:2">
      <c r="A15" s="13" t="s">
        <v>70</v>
      </c>
      <c r="B15" t="s">
        <v>72</v>
      </c>
    </row>
    <row r="16" spans="1:2">
      <c r="A16" s="14" t="s">
        <v>73</v>
      </c>
      <c r="B16" s="15">
        <v>1</v>
      </c>
    </row>
    <row r="17" spans="1:2">
      <c r="A17" s="14" t="s">
        <v>74</v>
      </c>
      <c r="B17" s="15">
        <v>3</v>
      </c>
    </row>
    <row r="18" spans="1:2">
      <c r="A18" s="14" t="s">
        <v>75</v>
      </c>
      <c r="B18" s="15">
        <v>1</v>
      </c>
    </row>
    <row r="19" spans="1:2">
      <c r="A19" s="14" t="s">
        <v>71</v>
      </c>
      <c r="B19" s="1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D980-B889-4A6D-9A33-E5C19AC8E26A}">
  <dimension ref="A1:R6"/>
  <sheetViews>
    <sheetView workbookViewId="0">
      <selection activeCell="G4" sqref="G4"/>
    </sheetView>
  </sheetViews>
  <sheetFormatPr defaultRowHeight="14.4"/>
  <cols>
    <col min="1" max="1" width="9.77734375" customWidth="1"/>
    <col min="2" max="2" width="11" customWidth="1"/>
    <col min="3" max="3" width="9.33203125" customWidth="1"/>
    <col min="4" max="4" width="10.21875" customWidth="1"/>
    <col min="5" max="5" width="12.109375" customWidth="1"/>
    <col min="7" max="7" width="25" customWidth="1"/>
    <col min="8" max="8" width="13.6640625" customWidth="1"/>
    <col min="9" max="9" width="11.44140625" customWidth="1"/>
    <col min="10" max="10" width="17.109375" customWidth="1"/>
    <col min="13" max="13" width="12" bestFit="1" customWidth="1"/>
    <col min="14" max="14" width="15.88671875" customWidth="1"/>
    <col min="15" max="15" width="15.77734375" customWidth="1"/>
    <col min="16" max="16" width="13.44140625" customWidth="1"/>
    <col min="17" max="17" width="14.5546875" customWidth="1"/>
    <col min="18" max="18" width="23.77734375" customWidth="1"/>
  </cols>
  <sheetData>
    <row r="1" spans="1:18" ht="28.8">
      <c r="A1" s="1" t="s">
        <v>0</v>
      </c>
      <c r="B1" s="1" t="s">
        <v>1</v>
      </c>
      <c r="C1" s="3" t="s">
        <v>2</v>
      </c>
      <c r="D1" s="1" t="s">
        <v>3</v>
      </c>
      <c r="E1" s="1" t="s">
        <v>19</v>
      </c>
      <c r="F1" s="1" t="s">
        <v>4</v>
      </c>
      <c r="G1" s="1" t="s">
        <v>20</v>
      </c>
      <c r="H1" s="1" t="s">
        <v>21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s="4" t="s">
        <v>5</v>
      </c>
      <c r="B2" s="4" t="s">
        <v>6</v>
      </c>
      <c r="C2" s="2">
        <v>2500</v>
      </c>
      <c r="D2" s="4" t="s">
        <v>7</v>
      </c>
      <c r="E2" s="4" t="s">
        <v>22</v>
      </c>
      <c r="F2" s="4" t="s">
        <v>8</v>
      </c>
      <c r="G2" s="4" t="s">
        <v>22</v>
      </c>
      <c r="H2" s="4" t="s">
        <v>23</v>
      </c>
      <c r="I2" s="6">
        <v>0.375</v>
      </c>
      <c r="J2" s="7">
        <v>0.41666666666666669</v>
      </c>
      <c r="K2" s="6">
        <f>J2-I2</f>
        <v>4.1666666666666685E-2</v>
      </c>
      <c r="L2" s="8">
        <v>0.16666666666666666</v>
      </c>
      <c r="M2" t="str">
        <f>IF(K2&lt;=L2,"SLA met","SLA breached")</f>
        <v>SLA met</v>
      </c>
    </row>
    <row r="3" spans="1:18">
      <c r="A3" s="4" t="s">
        <v>9</v>
      </c>
      <c r="B3" s="4" t="s">
        <v>10</v>
      </c>
      <c r="C3" s="4">
        <v>1800</v>
      </c>
      <c r="D3" s="4" t="s">
        <v>7</v>
      </c>
      <c r="E3" s="4" t="s">
        <v>22</v>
      </c>
      <c r="F3" s="4" t="s">
        <v>8</v>
      </c>
      <c r="G3" s="4" t="s">
        <v>22</v>
      </c>
      <c r="H3" s="4" t="s">
        <v>23</v>
      </c>
      <c r="I3" s="6">
        <v>0.375</v>
      </c>
      <c r="J3" s="7">
        <v>0.45833333333333298</v>
      </c>
      <c r="K3" s="6">
        <f t="shared" ref="K3:K6" si="0">J3-I3</f>
        <v>8.3333333333332982E-2</v>
      </c>
      <c r="L3" s="8">
        <v>0.16666666666666666</v>
      </c>
      <c r="M3" t="str">
        <f t="shared" ref="M3:M6" si="1">IF(K3&lt;=L3,"SLA met","SLA breached")</f>
        <v>SLA met</v>
      </c>
    </row>
    <row r="4" spans="1:18" ht="43.2">
      <c r="A4" s="4" t="s">
        <v>11</v>
      </c>
      <c r="B4" s="4" t="s">
        <v>12</v>
      </c>
      <c r="C4" s="4">
        <v>3200</v>
      </c>
      <c r="D4" s="4" t="s">
        <v>13</v>
      </c>
      <c r="E4" s="5" t="s">
        <v>24</v>
      </c>
      <c r="F4" s="5" t="s">
        <v>14</v>
      </c>
      <c r="G4" s="5" t="s">
        <v>25</v>
      </c>
      <c r="H4" s="5" t="s">
        <v>26</v>
      </c>
      <c r="I4" s="6">
        <v>0.375</v>
      </c>
      <c r="J4" s="7"/>
      <c r="K4" s="6" t="str">
        <f>IF(J4="","",J4-I4)</f>
        <v/>
      </c>
      <c r="L4" s="8">
        <v>0.16666666666666666</v>
      </c>
      <c r="N4" s="4" t="s">
        <v>14</v>
      </c>
      <c r="O4" s="4" t="s">
        <v>37</v>
      </c>
      <c r="P4" s="4" t="s">
        <v>38</v>
      </c>
      <c r="Q4" s="9">
        <v>0.375</v>
      </c>
      <c r="R4" s="4" t="s">
        <v>39</v>
      </c>
    </row>
    <row r="5" spans="1:18">
      <c r="A5" s="4" t="s">
        <v>15</v>
      </c>
      <c r="B5" s="4" t="s">
        <v>16</v>
      </c>
      <c r="C5" s="4">
        <v>1200</v>
      </c>
      <c r="D5" s="4" t="s">
        <v>7</v>
      </c>
      <c r="E5" s="4" t="s">
        <v>22</v>
      </c>
      <c r="F5" s="4" t="s">
        <v>8</v>
      </c>
      <c r="G5" s="4" t="s">
        <v>22</v>
      </c>
      <c r="H5" s="4" t="s">
        <v>23</v>
      </c>
      <c r="I5" s="6">
        <v>0.375</v>
      </c>
      <c r="J5" s="7">
        <v>0.5</v>
      </c>
      <c r="K5" s="6">
        <f t="shared" si="0"/>
        <v>0.125</v>
      </c>
      <c r="L5" s="8">
        <v>0.16666666666666666</v>
      </c>
      <c r="M5" t="str">
        <f t="shared" si="1"/>
        <v>SLA met</v>
      </c>
    </row>
    <row r="6" spans="1:18">
      <c r="A6" s="4" t="s">
        <v>17</v>
      </c>
      <c r="B6" s="4" t="s">
        <v>18</v>
      </c>
      <c r="C6" s="4">
        <v>4000</v>
      </c>
      <c r="D6" s="4" t="s">
        <v>7</v>
      </c>
      <c r="E6" s="4" t="s">
        <v>22</v>
      </c>
      <c r="F6" s="4" t="s">
        <v>8</v>
      </c>
      <c r="G6" s="4" t="s">
        <v>22</v>
      </c>
      <c r="H6" s="4" t="s">
        <v>23</v>
      </c>
      <c r="I6" s="6">
        <v>0.375</v>
      </c>
      <c r="J6" s="7">
        <v>0.58333333333333337</v>
      </c>
      <c r="K6" s="6">
        <f t="shared" si="0"/>
        <v>0.20833333333333337</v>
      </c>
      <c r="L6" s="8">
        <v>0.16666666666666666</v>
      </c>
      <c r="M6" t="str">
        <f t="shared" si="1"/>
        <v>SLA breached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07AF-431A-4A44-8A05-2FB4A62E6F9C}">
  <dimension ref="A1:E2"/>
  <sheetViews>
    <sheetView workbookViewId="0">
      <selection activeCell="E2" sqref="E2"/>
    </sheetView>
  </sheetViews>
  <sheetFormatPr defaultRowHeight="14.4"/>
  <cols>
    <col min="5" max="5" width="16.109375" customWidth="1"/>
  </cols>
  <sheetData>
    <row r="1" spans="1:5" ht="28.8">
      <c r="A1" s="1" t="s">
        <v>40</v>
      </c>
      <c r="B1" s="3" t="s">
        <v>41</v>
      </c>
      <c r="C1" s="3" t="s">
        <v>22</v>
      </c>
      <c r="D1" s="3" t="s">
        <v>42</v>
      </c>
      <c r="E1" s="3" t="s">
        <v>43</v>
      </c>
    </row>
    <row r="2" spans="1:5">
      <c r="A2" s="4" t="s">
        <v>44</v>
      </c>
      <c r="B2" s="2">
        <v>50</v>
      </c>
      <c r="C2" s="2">
        <v>45</v>
      </c>
      <c r="D2" s="2">
        <f>B2-C2</f>
        <v>5</v>
      </c>
      <c r="E2" s="10">
        <f>C2/B2</f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A267-6048-46C6-8BDD-63C48063FD30}">
  <dimension ref="A1:F6"/>
  <sheetViews>
    <sheetView workbookViewId="0">
      <selection activeCell="H13" sqref="H13"/>
    </sheetView>
  </sheetViews>
  <sheetFormatPr defaultRowHeight="14.4"/>
  <cols>
    <col min="6" max="6" width="12.21875" customWidth="1"/>
  </cols>
  <sheetData>
    <row r="1" spans="1:6" ht="28.8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 s="4" t="s">
        <v>5</v>
      </c>
      <c r="B2" s="9">
        <v>0.375</v>
      </c>
      <c r="C2" s="9">
        <v>0.41666666666666669</v>
      </c>
      <c r="D2" s="11">
        <v>4.1666666666666664E-2</v>
      </c>
      <c r="E2" s="11">
        <v>0.16666666666666666</v>
      </c>
      <c r="F2" s="4" t="s">
        <v>45</v>
      </c>
    </row>
    <row r="3" spans="1:6">
      <c r="A3" s="4" t="s">
        <v>9</v>
      </c>
      <c r="B3" s="9">
        <v>0.375</v>
      </c>
      <c r="C3" s="9">
        <v>0.45833333333333331</v>
      </c>
      <c r="D3" s="11">
        <v>8.3333333333333329E-2</v>
      </c>
      <c r="E3" s="11">
        <v>0.16666666666666666</v>
      </c>
      <c r="F3" s="4" t="s">
        <v>45</v>
      </c>
    </row>
    <row r="4" spans="1:6">
      <c r="A4" s="4" t="s">
        <v>11</v>
      </c>
      <c r="B4" s="9">
        <v>0.375</v>
      </c>
      <c r="C4" s="4" t="s">
        <v>46</v>
      </c>
      <c r="D4" s="4" t="s">
        <v>46</v>
      </c>
      <c r="E4" s="11">
        <v>0.16666666666666666</v>
      </c>
      <c r="F4" s="4" t="s">
        <v>24</v>
      </c>
    </row>
    <row r="5" spans="1:6">
      <c r="A5" s="4" t="s">
        <v>15</v>
      </c>
      <c r="B5" s="9">
        <v>0.375</v>
      </c>
      <c r="C5" s="9">
        <v>0.5</v>
      </c>
      <c r="D5" s="11">
        <v>0.125</v>
      </c>
      <c r="E5" s="11">
        <v>0.16666666666666666</v>
      </c>
      <c r="F5" s="4" t="s">
        <v>45</v>
      </c>
    </row>
    <row r="6" spans="1:6">
      <c r="A6" s="4" t="s">
        <v>17</v>
      </c>
      <c r="B6" s="9">
        <v>0.375</v>
      </c>
      <c r="C6" s="9">
        <v>0.58333333333333337</v>
      </c>
      <c r="D6" s="11">
        <v>0.20833333333333334</v>
      </c>
      <c r="E6" s="11">
        <v>0.16666666666666666</v>
      </c>
      <c r="F6" s="4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4C19-63A9-4311-A3C1-7566F51B952A}">
  <dimension ref="A1:B8"/>
  <sheetViews>
    <sheetView workbookViewId="0">
      <selection sqref="A1:B8"/>
    </sheetView>
  </sheetViews>
  <sheetFormatPr defaultRowHeight="14.4"/>
  <cols>
    <col min="1" max="1" width="16" customWidth="1"/>
    <col min="2" max="2" width="18.33203125" customWidth="1"/>
  </cols>
  <sheetData>
    <row r="1" spans="1:2">
      <c r="A1" s="1" t="s">
        <v>48</v>
      </c>
      <c r="B1" s="3" t="s">
        <v>49</v>
      </c>
    </row>
    <row r="2" spans="1:2" ht="28.8">
      <c r="A2" s="4" t="s">
        <v>50</v>
      </c>
      <c r="B2" s="2">
        <v>5</v>
      </c>
    </row>
    <row r="3" spans="1:2" ht="28.8">
      <c r="A3" s="4" t="s">
        <v>22</v>
      </c>
      <c r="B3" s="2">
        <v>4</v>
      </c>
    </row>
    <row r="4" spans="1:2">
      <c r="A4" s="4" t="s">
        <v>24</v>
      </c>
      <c r="B4" s="2">
        <v>1</v>
      </c>
    </row>
    <row r="5" spans="1:2">
      <c r="A5" s="4" t="s">
        <v>45</v>
      </c>
      <c r="B5" s="2">
        <v>3</v>
      </c>
    </row>
    <row r="6" spans="1:2" ht="28.8">
      <c r="A6" s="4" t="s">
        <v>47</v>
      </c>
      <c r="B6" s="2">
        <v>1</v>
      </c>
    </row>
    <row r="7" spans="1:2">
      <c r="A7" s="4" t="s">
        <v>51</v>
      </c>
      <c r="B7" s="2">
        <v>1</v>
      </c>
    </row>
    <row r="8" spans="1:2" ht="28.8">
      <c r="A8" s="4" t="s">
        <v>52</v>
      </c>
      <c r="B8" s="12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9AFC-C9D5-4313-87AC-33A266AEE35B}">
  <dimension ref="A1:C2"/>
  <sheetViews>
    <sheetView workbookViewId="0">
      <selection sqref="A1:C2"/>
    </sheetView>
  </sheetViews>
  <sheetFormatPr defaultRowHeight="14.4"/>
  <cols>
    <col min="2" max="2" width="46" customWidth="1"/>
    <col min="3" max="3" width="57.109375" customWidth="1"/>
  </cols>
  <sheetData>
    <row r="1" spans="1:3" ht="28.8">
      <c r="A1" s="1" t="s">
        <v>53</v>
      </c>
      <c r="B1" s="1" t="s">
        <v>54</v>
      </c>
      <c r="C1" s="1" t="s">
        <v>55</v>
      </c>
    </row>
    <row r="2" spans="1:3" ht="129.6">
      <c r="A2" s="4" t="s">
        <v>56</v>
      </c>
      <c r="B2" s="4" t="s">
        <v>57</v>
      </c>
      <c r="C2" s="4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954C-9739-4334-910D-62793B4A36D5}">
  <dimension ref="A1:B9"/>
  <sheetViews>
    <sheetView topLeftCell="A5" workbookViewId="0">
      <selection sqref="A1:B9"/>
    </sheetView>
  </sheetViews>
  <sheetFormatPr defaultRowHeight="14.4"/>
  <cols>
    <col min="1" max="1" width="23" customWidth="1"/>
  </cols>
  <sheetData>
    <row r="1" spans="1:2">
      <c r="A1" s="1" t="s">
        <v>59</v>
      </c>
      <c r="B1" s="1" t="s">
        <v>60</v>
      </c>
    </row>
    <row r="2" spans="1:2" ht="43.2">
      <c r="A2" s="4" t="s">
        <v>61</v>
      </c>
      <c r="B2" s="4" t="s">
        <v>62</v>
      </c>
    </row>
    <row r="3" spans="1:2" ht="57.6">
      <c r="A3" s="4" t="s">
        <v>63</v>
      </c>
      <c r="B3" s="4" t="s">
        <v>62</v>
      </c>
    </row>
    <row r="4" spans="1:2" ht="57.6">
      <c r="A4" s="4" t="s">
        <v>64</v>
      </c>
      <c r="B4" s="4" t="s">
        <v>62</v>
      </c>
    </row>
    <row r="5" spans="1:2" ht="72">
      <c r="A5" s="4" t="s">
        <v>65</v>
      </c>
      <c r="B5" s="4" t="s">
        <v>62</v>
      </c>
    </row>
    <row r="6" spans="1:2" ht="57.6">
      <c r="A6" s="4" t="s">
        <v>66</v>
      </c>
      <c r="B6" s="4" t="s">
        <v>62</v>
      </c>
    </row>
    <row r="7" spans="1:2" ht="72">
      <c r="A7" s="4" t="s">
        <v>67</v>
      </c>
      <c r="B7" s="4" t="s">
        <v>62</v>
      </c>
    </row>
    <row r="8" spans="1:2" ht="57.6">
      <c r="A8" s="4" t="s">
        <v>68</v>
      </c>
      <c r="B8" s="4" t="s">
        <v>62</v>
      </c>
    </row>
    <row r="9" spans="1:2" ht="72">
      <c r="A9" s="4" t="s">
        <v>69</v>
      </c>
      <c r="B9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pivot tables</vt:lpstr>
      <vt:lpstr>Operations Tracker</vt:lpstr>
      <vt:lpstr>Productivity Report</vt:lpstr>
      <vt:lpstr>SLA TAT Report</vt:lpstr>
      <vt:lpstr>MIS Report</vt:lpstr>
      <vt:lpstr>RCA &amp; Improvement</vt:lpstr>
      <vt:lpstr>quality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</dc:creator>
  <cp:lastModifiedBy>abhishek g</cp:lastModifiedBy>
  <dcterms:created xsi:type="dcterms:W3CDTF">2026-09-16T04:35:34Z</dcterms:created>
  <dcterms:modified xsi:type="dcterms:W3CDTF">2026-09-17T04:35:22Z</dcterms:modified>
</cp:coreProperties>
</file>